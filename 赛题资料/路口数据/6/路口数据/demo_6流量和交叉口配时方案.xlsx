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流量数据" sheetId="1" r:id="rId1"/>
    <sheet name="信号配时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<sst xmlns="http://schemas.openxmlformats.org/spreadsheetml/2006/main" count="91" uniqueCount="34">
  <si>
    <t>早高峰时段流量数据</t>
  </si>
  <si>
    <t>统计开始时间</t>
  </si>
  <si>
    <t>统计结束时间</t>
  </si>
  <si>
    <t>东进口</t>
  </si>
  <si>
    <t>西进口</t>
  </si>
  <si>
    <t>南进口</t>
  </si>
  <si>
    <t>北进口</t>
  </si>
  <si>
    <t>左转(pcu)</t>
  </si>
  <si>
    <t>直行(pcu)</t>
  </si>
  <si>
    <t>右转(pcu)</t>
  </si>
  <si>
    <t>配置参数</t>
  </si>
  <si>
    <t>总流量</t>
  </si>
  <si>
    <t>转向比例</t>
  </si>
  <si>
    <t>平峰时段流量数据</t>
  </si>
  <si>
    <t>晚高峰时段流量数据</t>
  </si>
  <si>
    <t>信号配时方案</t>
  </si>
  <si>
    <t>时段分类</t>
  </si>
  <si>
    <t>时段范围</t>
  </si>
  <si>
    <t>相位编号</t>
  </si>
  <si>
    <t>相位名称</t>
  </si>
  <si>
    <t>绿灯时长 (s)</t>
  </si>
  <si>
    <t>黄灯时长(s)</t>
  </si>
  <si>
    <t>全红时长(s)</t>
  </si>
  <si>
    <t>单相位总时长(s)</t>
  </si>
  <si>
    <t>周期总时长(s)</t>
  </si>
  <si>
    <t>早高峰</t>
  </si>
  <si>
    <t>7:00-9:00</t>
  </si>
  <si>
    <t>东西直左</t>
  </si>
  <si>
    <t>南北左转</t>
  </si>
  <si>
    <t>南北直行</t>
  </si>
  <si>
    <t>平峰</t>
  </si>
  <si>
    <t>14:30-16:30</t>
  </si>
  <si>
    <t>晚高峰</t>
  </si>
  <si>
    <t>17:30-19:30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</si>
</sst>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:ss;@"/>
    <numFmt numFmtId="177" formatCode="0.00_ "/>
  </numFmts>
  <fonts count="27">
    <font>
      <sz val="11"/>
      <color theme="1"/>
      <name val="宋体"/>
      <charset val="134"/>
      <scheme val="minor"/>
    </font>
    <font>
      <b/>
      <sz val="18"/>
      <color theme="1"/>
      <name val="Microsoft YaHei"/>
      <charset val="134"/>
    </font>
    <font>
      <b/>
      <sz val="16"/>
      <color theme="1"/>
      <name val="Microsoft YaHei"/>
      <charset val="134"/>
    </font>
    <font>
      <b/>
      <sz val="14"/>
      <color theme="1"/>
      <name val="Microsoft YaHei"/>
      <charset val="134"/>
    </font>
    <font>
      <sz val="14"/>
      <color theme="1"/>
      <name val="Microsoft YaHei"/>
      <charset val="134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3" borderId="11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2">
      <alignment vertical="center"/>
    </xf>
    <xf numFmtId="0" fontId="14" fillId="0" borderId="12">
      <alignment vertical="center"/>
    </xf>
    <xf numFmtId="0" fontId="15" fillId="0" borderId="13">
      <alignment vertical="center"/>
    </xf>
    <xf numFmtId="0" fontId="15" fillId="0" borderId="0">
      <alignment vertical="center"/>
    </xf>
    <xf numFmtId="0" fontId="16" fillId="4" borderId="14">
      <alignment vertical="center"/>
    </xf>
    <xf numFmtId="0" fontId="17" fillId="5" borderId="15">
      <alignment vertical="center"/>
    </xf>
    <xf numFmtId="0" fontId="18" fillId="5" borderId="14">
      <alignment vertical="center"/>
    </xf>
    <xf numFmtId="0" fontId="19" fillId="6" borderId="16">
      <alignment vertical="center"/>
    </xf>
    <xf numFmtId="0" fontId="20" fillId="0" borderId="17">
      <alignment vertical="center"/>
    </xf>
    <xf numFmtId="0" fontId="21" fillId="0" borderId="18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6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</cellStyleXfs>
  <cellXfs count="3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0" fillId="0" borderId="0" xfId="0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76" fontId="6" fillId="2" borderId="4" xfId="0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/>
    </xf>
    <xf numFmtId="176" fontId="6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7" fillId="0" borderId="1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3"/>
  <sheetViews>
    <sheetView tabSelected="1" workbookViewId="0">
      <selection activeCell="D14" sqref="D14"/>
    </sheetView>
  </sheetViews>
  <sheetFormatPr defaultColWidth="10.6296296296296" defaultRowHeight="17.4"/>
  <cols>
    <col min="1" max="2" width="17.3703703703704" style="15" customWidth="1"/>
    <col min="3" max="14" width="13.8796296296296" style="15" customWidth="1"/>
    <col min="15" max="18" width="11.8796296296296" style="15" customWidth="1"/>
    <col min="19" max="16384" width="10.6296296296296" style="15"/>
  </cols>
  <sheetData>
    <row r="1" ht="25.8" spans="1:19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32"/>
      <c r="O1" s="33"/>
      <c r="P1" s="33"/>
      <c r="Q1" s="33"/>
      <c r="S1" s="33"/>
    </row>
    <row r="2" spans="1:19">
      <c r="A2" s="18" t="s">
        <v>1</v>
      </c>
      <c r="B2" s="18" t="s">
        <v>2</v>
      </c>
      <c r="C2" s="18" t="s">
        <v>3</v>
      </c>
      <c r="D2" s="18"/>
      <c r="E2" s="18"/>
      <c r="F2" s="18" t="s">
        <v>4</v>
      </c>
      <c r="G2" s="18"/>
      <c r="H2" s="18"/>
      <c r="I2" s="18" t="s">
        <v>5</v>
      </c>
      <c r="J2" s="18"/>
      <c r="K2" s="18"/>
      <c r="L2" s="18" t="s">
        <v>6</v>
      </c>
      <c r="M2" s="18"/>
      <c r="N2" s="18"/>
      <c r="S2" s="33"/>
    </row>
    <row r="3" spans="1:19">
      <c r="A3" s="18"/>
      <c r="B3" s="18"/>
      <c r="C3" s="18" t="s">
        <v>7</v>
      </c>
      <c r="D3" s="18" t="s">
        <v>8</v>
      </c>
      <c r="E3" s="18" t="s">
        <v>9</v>
      </c>
      <c r="F3" s="18" t="s">
        <v>7</v>
      </c>
      <c r="G3" s="18" t="s">
        <v>8</v>
      </c>
      <c r="H3" s="18" t="s">
        <v>9</v>
      </c>
      <c r="I3" s="18" t="s">
        <v>7</v>
      </c>
      <c r="J3" s="18" t="s">
        <v>8</v>
      </c>
      <c r="K3" s="18" t="s">
        <v>9</v>
      </c>
      <c r="L3" s="18" t="s">
        <v>7</v>
      </c>
      <c r="M3" s="18" t="s">
        <v>8</v>
      </c>
      <c r="N3" s="18" t="s">
        <v>9</v>
      </c>
      <c r="S3" s="33"/>
    </row>
    <row r="4" spans="1:14">
      <c r="A4" s="19">
        <v>0.291666666666667</v>
      </c>
      <c r="B4" s="19">
        <v>0.302083333333333</v>
      </c>
      <c r="C4" s="20">
        <v>45</v>
      </c>
      <c r="D4" s="20">
        <v>102</v>
      </c>
      <c r="E4" s="20">
        <v>47</v>
      </c>
      <c r="F4" s="20">
        <v>12</v>
      </c>
      <c r="G4" s="20">
        <v>65</v>
      </c>
      <c r="H4" s="20">
        <v>38</v>
      </c>
      <c r="I4" s="20">
        <v>44</v>
      </c>
      <c r="J4" s="20">
        <v>43</v>
      </c>
      <c r="K4" s="20">
        <v>23</v>
      </c>
      <c r="L4" s="20">
        <v>29</v>
      </c>
      <c r="M4" s="20">
        <v>76</v>
      </c>
      <c r="N4" s="20">
        <v>17</v>
      </c>
    </row>
    <row r="5" spans="1:14">
      <c r="A5" s="19">
        <v>0.302083333333333</v>
      </c>
      <c r="B5" s="19">
        <v>0.3125</v>
      </c>
      <c r="C5" s="20">
        <v>39</v>
      </c>
      <c r="D5" s="20">
        <v>82</v>
      </c>
      <c r="E5" s="20">
        <v>42</v>
      </c>
      <c r="F5" s="20">
        <v>10</v>
      </c>
      <c r="G5" s="20">
        <v>98</v>
      </c>
      <c r="H5" s="20">
        <v>29</v>
      </c>
      <c r="I5" s="20">
        <v>39</v>
      </c>
      <c r="J5" s="20">
        <v>48</v>
      </c>
      <c r="K5" s="20">
        <v>36</v>
      </c>
      <c r="L5" s="20">
        <v>35</v>
      </c>
      <c r="M5" s="20">
        <v>92</v>
      </c>
      <c r="N5" s="20">
        <v>13</v>
      </c>
    </row>
    <row r="6" spans="1:14">
      <c r="A6" s="19">
        <v>0.3125</v>
      </c>
      <c r="B6" s="19">
        <v>0.322916666666667</v>
      </c>
      <c r="C6" s="20">
        <v>48</v>
      </c>
      <c r="D6" s="20">
        <v>105</v>
      </c>
      <c r="E6" s="20">
        <v>51</v>
      </c>
      <c r="F6" s="20">
        <v>11</v>
      </c>
      <c r="G6" s="20">
        <v>73</v>
      </c>
      <c r="H6" s="20">
        <v>24</v>
      </c>
      <c r="I6" s="20">
        <v>47</v>
      </c>
      <c r="J6" s="20">
        <v>76</v>
      </c>
      <c r="K6" s="20">
        <v>21</v>
      </c>
      <c r="L6" s="20">
        <v>31</v>
      </c>
      <c r="M6" s="20">
        <v>88</v>
      </c>
      <c r="N6" s="20">
        <v>15</v>
      </c>
    </row>
    <row r="7" spans="1:14">
      <c r="A7" s="19">
        <v>0.322916666666667</v>
      </c>
      <c r="B7" s="19">
        <v>0.333333333333333</v>
      </c>
      <c r="C7" s="20">
        <v>37</v>
      </c>
      <c r="D7" s="20">
        <v>118</v>
      </c>
      <c r="E7" s="20">
        <v>68</v>
      </c>
      <c r="F7" s="20">
        <v>9</v>
      </c>
      <c r="G7" s="20">
        <v>52</v>
      </c>
      <c r="H7" s="20">
        <v>31</v>
      </c>
      <c r="I7" s="20">
        <v>36</v>
      </c>
      <c r="J7" s="20">
        <v>52</v>
      </c>
      <c r="K7" s="20">
        <v>28</v>
      </c>
      <c r="L7" s="20">
        <v>32</v>
      </c>
      <c r="M7" s="20">
        <v>79</v>
      </c>
      <c r="N7" s="20">
        <v>33</v>
      </c>
    </row>
    <row r="8" spans="1:14">
      <c r="A8" s="19">
        <v>0.333333333333333</v>
      </c>
      <c r="B8" s="19">
        <v>0.34375</v>
      </c>
      <c r="C8" s="20">
        <v>53</v>
      </c>
      <c r="D8" s="20">
        <v>106</v>
      </c>
      <c r="E8" s="20">
        <v>25</v>
      </c>
      <c r="F8" s="20">
        <v>14</v>
      </c>
      <c r="G8" s="20">
        <v>61</v>
      </c>
      <c r="H8" s="20">
        <v>20</v>
      </c>
      <c r="I8" s="20">
        <v>62</v>
      </c>
      <c r="J8" s="20">
        <v>41</v>
      </c>
      <c r="K8" s="20">
        <v>19</v>
      </c>
      <c r="L8" s="20">
        <v>27</v>
      </c>
      <c r="M8" s="20">
        <v>91</v>
      </c>
      <c r="N8" s="20">
        <v>14</v>
      </c>
    </row>
    <row r="9" spans="1:14">
      <c r="A9" s="19">
        <v>0.34375</v>
      </c>
      <c r="B9" s="19">
        <v>0.354166666666667</v>
      </c>
      <c r="C9" s="20">
        <v>41</v>
      </c>
      <c r="D9" s="20">
        <v>102</v>
      </c>
      <c r="E9" s="20">
        <v>40</v>
      </c>
      <c r="F9" s="20">
        <v>13</v>
      </c>
      <c r="G9" s="20">
        <v>56</v>
      </c>
      <c r="H9" s="20">
        <v>27</v>
      </c>
      <c r="I9" s="20">
        <v>42</v>
      </c>
      <c r="J9" s="20">
        <v>39</v>
      </c>
      <c r="K9" s="20">
        <v>25</v>
      </c>
      <c r="L9" s="20">
        <v>26</v>
      </c>
      <c r="M9" s="20">
        <v>95</v>
      </c>
      <c r="N9" s="20">
        <v>12</v>
      </c>
    </row>
    <row r="10" spans="1:14">
      <c r="A10" s="19">
        <v>0.354166666666667</v>
      </c>
      <c r="B10" s="19">
        <v>0.364583333333333</v>
      </c>
      <c r="C10" s="20">
        <v>38</v>
      </c>
      <c r="D10" s="20">
        <v>113</v>
      </c>
      <c r="E10" s="20">
        <v>53</v>
      </c>
      <c r="F10" s="20">
        <v>8</v>
      </c>
      <c r="G10" s="20">
        <v>71</v>
      </c>
      <c r="H10" s="20">
        <v>25</v>
      </c>
      <c r="I10" s="20">
        <v>38</v>
      </c>
      <c r="J10" s="20">
        <v>50</v>
      </c>
      <c r="K10" s="20">
        <v>22</v>
      </c>
      <c r="L10" s="20">
        <v>33</v>
      </c>
      <c r="M10" s="20">
        <v>63</v>
      </c>
      <c r="N10" s="20">
        <v>10</v>
      </c>
    </row>
    <row r="11" spans="1:14">
      <c r="A11" s="19">
        <v>0.364583333333333</v>
      </c>
      <c r="B11" s="19">
        <v>0.375</v>
      </c>
      <c r="C11" s="20">
        <v>55</v>
      </c>
      <c r="D11" s="20">
        <v>115</v>
      </c>
      <c r="E11" s="20">
        <v>63</v>
      </c>
      <c r="F11" s="20">
        <v>20</v>
      </c>
      <c r="G11" s="20">
        <v>76</v>
      </c>
      <c r="H11" s="20">
        <v>32</v>
      </c>
      <c r="I11" s="20">
        <v>50</v>
      </c>
      <c r="J11" s="20">
        <v>53</v>
      </c>
      <c r="K11" s="20">
        <v>30</v>
      </c>
      <c r="L11" s="20">
        <v>27</v>
      </c>
      <c r="M11" s="20">
        <v>79</v>
      </c>
      <c r="N11" s="20">
        <v>11</v>
      </c>
    </row>
    <row r="12" spans="1:14">
      <c r="A12" s="21" t="s">
        <v>10</v>
      </c>
      <c r="B12" s="22" t="s">
        <v>11</v>
      </c>
      <c r="C12" s="23">
        <v>1588</v>
      </c>
      <c r="D12" s="23"/>
      <c r="E12" s="23"/>
      <c r="F12" s="23">
        <v>875</v>
      </c>
      <c r="G12" s="23"/>
      <c r="H12" s="23"/>
      <c r="I12" s="23">
        <v>964</v>
      </c>
      <c r="J12" s="23"/>
      <c r="K12" s="23"/>
      <c r="L12" s="23">
        <v>1028</v>
      </c>
      <c r="M12" s="23"/>
      <c r="N12" s="23"/>
    </row>
    <row r="13" spans="1:14">
      <c r="A13" s="24"/>
      <c r="B13" s="25" t="s">
        <v>12</v>
      </c>
      <c r="C13" s="26">
        <f>SUM(C4:C11)/SUM(C4:E11)</f>
        <v>0.224181360201511</v>
      </c>
      <c r="D13" s="26">
        <f>SUM(D4:D11)/SUM(C4:E11)</f>
        <v>0.530856423173804</v>
      </c>
      <c r="E13" s="26">
        <v>0.25</v>
      </c>
      <c r="F13" s="26">
        <f>SUM(F4:F11)/SUM(F4:H11)</f>
        <v>0.110857142857143</v>
      </c>
      <c r="G13" s="26">
        <f>SUM(G4:G11)/SUM(F4:H11)</f>
        <v>0.630857142857143</v>
      </c>
      <c r="H13" s="26">
        <f>SUM(H4:H11)/SUM(F4:H11)</f>
        <v>0.258285714285714</v>
      </c>
      <c r="I13" s="26">
        <f>SUM(I4:I11)/SUM(I4:K11)</f>
        <v>0.371369294605809</v>
      </c>
      <c r="J13" s="26">
        <f>SUM(J4:J11)/SUM(I4:K11)</f>
        <v>0.41701244813278</v>
      </c>
      <c r="K13" s="26">
        <f>SUM(K4:K11)/SUM(I4:K11)</f>
        <v>0.211618257261411</v>
      </c>
      <c r="L13" s="26">
        <f>SUM(L4:L11)/SUM(L4:N11)</f>
        <v>0.233463035019455</v>
      </c>
      <c r="M13" s="26">
        <v>0.65</v>
      </c>
      <c r="N13" s="26">
        <f>SUM(N4:N11)/SUM(L4:N11)</f>
        <v>0.1215953307393</v>
      </c>
    </row>
    <row r="14" spans="1:18">
      <c r="A14" s="27"/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P14" s="14"/>
      <c r="Q14" s="14"/>
      <c r="R14" s="14"/>
    </row>
    <row r="15" spans="15:18">
      <c r="O15" s="14"/>
      <c r="P15" s="14"/>
      <c r="Q15" s="14"/>
      <c r="R15" s="14"/>
    </row>
    <row r="16" ht="25.8" spans="1:14">
      <c r="A16" s="16" t="s">
        <v>13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32"/>
    </row>
    <row r="17" s="14" customFormat="1" spans="1:18">
      <c r="A17" s="18" t="s">
        <v>1</v>
      </c>
      <c r="B17" s="18" t="s">
        <v>2</v>
      </c>
      <c r="C17" s="18" t="s">
        <v>3</v>
      </c>
      <c r="D17" s="18"/>
      <c r="E17" s="18"/>
      <c r="F17" s="18" t="s">
        <v>4</v>
      </c>
      <c r="G17" s="18"/>
      <c r="H17" s="18"/>
      <c r="I17" s="18" t="s">
        <v>5</v>
      </c>
      <c r="J17" s="18"/>
      <c r="K17" s="18"/>
      <c r="L17" s="18" t="s">
        <v>6</v>
      </c>
      <c r="M17" s="18"/>
      <c r="N17" s="18"/>
      <c r="O17" s="15"/>
      <c r="P17" s="15"/>
      <c r="Q17" s="15"/>
      <c r="R17" s="15"/>
    </row>
    <row r="18" s="14" customFormat="1" spans="1:18">
      <c r="A18" s="18"/>
      <c r="B18" s="18"/>
      <c r="C18" s="18" t="s">
        <v>7</v>
      </c>
      <c r="D18" s="18" t="s">
        <v>8</v>
      </c>
      <c r="E18" s="18" t="s">
        <v>9</v>
      </c>
      <c r="F18" s="18" t="s">
        <v>7</v>
      </c>
      <c r="G18" s="18" t="s">
        <v>8</v>
      </c>
      <c r="H18" s="18" t="s">
        <v>9</v>
      </c>
      <c r="I18" s="18" t="s">
        <v>7</v>
      </c>
      <c r="J18" s="18" t="s">
        <v>8</v>
      </c>
      <c r="K18" s="18" t="s">
        <v>9</v>
      </c>
      <c r="L18" s="18" t="s">
        <v>7</v>
      </c>
      <c r="M18" s="18" t="s">
        <v>8</v>
      </c>
      <c r="N18" s="18" t="s">
        <v>9</v>
      </c>
      <c r="O18" s="15"/>
      <c r="P18" s="15"/>
      <c r="Q18" s="15"/>
      <c r="R18" s="15"/>
    </row>
    <row r="19" spans="1:14">
      <c r="A19" s="19">
        <v>0.604166666666667</v>
      </c>
      <c r="B19" s="19">
        <v>0.614583333333333</v>
      </c>
      <c r="C19" s="20">
        <v>30</v>
      </c>
      <c r="D19" s="20">
        <v>52</v>
      </c>
      <c r="E19" s="20">
        <v>32</v>
      </c>
      <c r="F19" s="20">
        <v>17</v>
      </c>
      <c r="G19" s="20">
        <v>63</v>
      </c>
      <c r="H19" s="20">
        <v>32</v>
      </c>
      <c r="I19" s="20">
        <v>44</v>
      </c>
      <c r="J19" s="20">
        <v>31</v>
      </c>
      <c r="K19" s="20">
        <v>18</v>
      </c>
      <c r="L19" s="20">
        <v>22</v>
      </c>
      <c r="M19" s="20">
        <v>30</v>
      </c>
      <c r="N19" s="20">
        <v>42</v>
      </c>
    </row>
    <row r="20" spans="1:14">
      <c r="A20" s="19">
        <v>0.614583333333333</v>
      </c>
      <c r="B20" s="19">
        <v>0.625</v>
      </c>
      <c r="C20" s="20">
        <v>34</v>
      </c>
      <c r="D20" s="20">
        <v>41</v>
      </c>
      <c r="E20" s="20">
        <v>38</v>
      </c>
      <c r="F20" s="20">
        <v>15</v>
      </c>
      <c r="G20" s="20">
        <v>57</v>
      </c>
      <c r="H20" s="20">
        <v>29</v>
      </c>
      <c r="I20" s="20">
        <v>39</v>
      </c>
      <c r="J20" s="20">
        <v>28</v>
      </c>
      <c r="K20" s="20">
        <v>16</v>
      </c>
      <c r="L20" s="20">
        <v>25</v>
      </c>
      <c r="M20" s="20">
        <v>27</v>
      </c>
      <c r="N20" s="20">
        <v>36</v>
      </c>
    </row>
    <row r="21" spans="1:14">
      <c r="A21" s="19">
        <v>0.625</v>
      </c>
      <c r="B21" s="19">
        <v>0.635416666666667</v>
      </c>
      <c r="C21" s="20">
        <v>27</v>
      </c>
      <c r="D21" s="20">
        <v>38</v>
      </c>
      <c r="E21" s="20">
        <v>35</v>
      </c>
      <c r="F21" s="20">
        <v>13</v>
      </c>
      <c r="G21" s="20">
        <v>119</v>
      </c>
      <c r="H21" s="20">
        <v>35</v>
      </c>
      <c r="I21" s="20">
        <v>37</v>
      </c>
      <c r="J21" s="20">
        <v>35</v>
      </c>
      <c r="K21" s="20">
        <v>14</v>
      </c>
      <c r="L21" s="20">
        <v>20</v>
      </c>
      <c r="M21" s="20">
        <v>33</v>
      </c>
      <c r="N21" s="20">
        <v>39</v>
      </c>
    </row>
    <row r="22" spans="1:14">
      <c r="A22" s="19">
        <v>0.635416666666667</v>
      </c>
      <c r="B22" s="19">
        <v>0.645833333333333</v>
      </c>
      <c r="C22" s="20">
        <v>31</v>
      </c>
      <c r="D22" s="20">
        <v>45</v>
      </c>
      <c r="E22" s="20">
        <v>26</v>
      </c>
      <c r="F22" s="20">
        <v>16</v>
      </c>
      <c r="G22" s="20">
        <v>71</v>
      </c>
      <c r="H22" s="20">
        <v>27</v>
      </c>
      <c r="I22" s="20">
        <v>25</v>
      </c>
      <c r="J22" s="20">
        <v>26</v>
      </c>
      <c r="K22" s="20">
        <v>15</v>
      </c>
      <c r="L22" s="20">
        <v>23</v>
      </c>
      <c r="M22" s="20">
        <v>42</v>
      </c>
      <c r="N22" s="20">
        <v>33</v>
      </c>
    </row>
    <row r="23" spans="1:14">
      <c r="A23" s="19">
        <v>0.645833333333333</v>
      </c>
      <c r="B23" s="19">
        <v>0.65625</v>
      </c>
      <c r="C23" s="20">
        <v>35</v>
      </c>
      <c r="D23" s="20">
        <v>36</v>
      </c>
      <c r="E23" s="20">
        <v>51</v>
      </c>
      <c r="F23" s="20">
        <v>12</v>
      </c>
      <c r="G23" s="20">
        <v>52</v>
      </c>
      <c r="H23" s="20">
        <v>31</v>
      </c>
      <c r="I23" s="20">
        <v>42</v>
      </c>
      <c r="J23" s="20">
        <v>33</v>
      </c>
      <c r="K23" s="20">
        <v>12</v>
      </c>
      <c r="L23" s="20">
        <v>19</v>
      </c>
      <c r="M23" s="20">
        <v>31</v>
      </c>
      <c r="N23" s="20">
        <v>45</v>
      </c>
    </row>
    <row r="24" spans="1:14">
      <c r="A24" s="19">
        <v>0.65625</v>
      </c>
      <c r="B24" s="19">
        <v>0.666666666666667</v>
      </c>
      <c r="C24" s="20">
        <v>30</v>
      </c>
      <c r="D24" s="20">
        <v>43</v>
      </c>
      <c r="E24" s="20">
        <v>30</v>
      </c>
      <c r="F24" s="20">
        <v>14</v>
      </c>
      <c r="G24" s="20">
        <v>68</v>
      </c>
      <c r="H24" s="20">
        <v>28</v>
      </c>
      <c r="I24" s="20">
        <v>31</v>
      </c>
      <c r="J24" s="20">
        <v>29</v>
      </c>
      <c r="K24" s="20">
        <v>32</v>
      </c>
      <c r="L24" s="20">
        <v>21</v>
      </c>
      <c r="M24" s="20">
        <v>28</v>
      </c>
      <c r="N24" s="20">
        <v>30</v>
      </c>
    </row>
    <row r="25" spans="1:14">
      <c r="A25" s="19">
        <v>0.666666666666667</v>
      </c>
      <c r="B25" s="19">
        <v>0.677083333333333</v>
      </c>
      <c r="C25" s="20">
        <v>43</v>
      </c>
      <c r="D25" s="20">
        <v>39</v>
      </c>
      <c r="E25" s="20">
        <v>24</v>
      </c>
      <c r="F25" s="20">
        <v>11</v>
      </c>
      <c r="G25" s="20">
        <v>49</v>
      </c>
      <c r="H25" s="20">
        <v>33</v>
      </c>
      <c r="I25" s="20">
        <v>28</v>
      </c>
      <c r="J25" s="20">
        <v>30</v>
      </c>
      <c r="K25" s="20">
        <v>11</v>
      </c>
      <c r="L25" s="20">
        <v>24</v>
      </c>
      <c r="M25" s="20">
        <v>29</v>
      </c>
      <c r="N25" s="20">
        <v>37</v>
      </c>
    </row>
    <row r="26" spans="1:14">
      <c r="A26" s="19">
        <v>0.677083333333333</v>
      </c>
      <c r="B26" s="19">
        <v>0.6875</v>
      </c>
      <c r="C26" s="20">
        <v>24</v>
      </c>
      <c r="D26" s="20">
        <v>37</v>
      </c>
      <c r="E26" s="20">
        <v>49</v>
      </c>
      <c r="F26" s="20">
        <v>26</v>
      </c>
      <c r="G26" s="20">
        <v>75</v>
      </c>
      <c r="H26" s="20">
        <v>31</v>
      </c>
      <c r="I26" s="20">
        <v>39</v>
      </c>
      <c r="J26" s="20">
        <v>46</v>
      </c>
      <c r="K26" s="20">
        <v>13</v>
      </c>
      <c r="L26" s="20">
        <v>29</v>
      </c>
      <c r="M26" s="20">
        <v>26</v>
      </c>
      <c r="N26" s="20">
        <v>51</v>
      </c>
    </row>
    <row r="27" spans="1:14">
      <c r="A27" s="21" t="s">
        <v>10</v>
      </c>
      <c r="B27" s="22" t="s">
        <v>11</v>
      </c>
      <c r="C27" s="23">
        <v>870</v>
      </c>
      <c r="D27" s="23"/>
      <c r="E27" s="23"/>
      <c r="F27" s="23">
        <v>924</v>
      </c>
      <c r="G27" s="23"/>
      <c r="H27" s="23"/>
      <c r="I27" s="23">
        <v>674</v>
      </c>
      <c r="J27" s="23"/>
      <c r="K27" s="23"/>
      <c r="L27" s="23">
        <v>742</v>
      </c>
      <c r="M27" s="23"/>
      <c r="N27" s="23"/>
    </row>
    <row r="28" s="14" customFormat="1" spans="1:18">
      <c r="A28" s="24"/>
      <c r="B28" s="25" t="s">
        <v>12</v>
      </c>
      <c r="C28" s="26">
        <f>SUM(C19:C26)/SUM(C19:E26)</f>
        <v>0.291954022988506</v>
      </c>
      <c r="D28" s="26">
        <f>SUM(D19:D26)/SUM(C19:E26)</f>
        <v>0.380459770114943</v>
      </c>
      <c r="E28" s="26">
        <f>SUM(E19:E26)/SUM(C19:E26)</f>
        <v>0.327586206896552</v>
      </c>
      <c r="F28" s="26">
        <f>SUM(F19:F26)/SUM(F19:H26)</f>
        <v>0.134199134199134</v>
      </c>
      <c r="G28" s="26">
        <f>SUM(G19:G26)/SUM(F19:H26)</f>
        <v>0.5995670995671</v>
      </c>
      <c r="H28" s="26">
        <f>SUM(H19:H26)/SUM(F19:H26)</f>
        <v>0.266233766233766</v>
      </c>
      <c r="I28" s="26">
        <f>SUM(I19:I26)/SUM(I19:K26)</f>
        <v>0.422848664688427</v>
      </c>
      <c r="J28" s="26">
        <v>0.39</v>
      </c>
      <c r="K28" s="26">
        <f>SUM(K19:K26)/SUM(I19:K26)</f>
        <v>0.194362017804154</v>
      </c>
      <c r="L28" s="26">
        <f>SUM(L19:L26)/SUM(L19:N26)</f>
        <v>0.246630727762803</v>
      </c>
      <c r="M28" s="26">
        <f>SUM(M19:M26)/SUM(L19:N26)</f>
        <v>0.331536388140162</v>
      </c>
      <c r="N28" s="26">
        <f>SUM(N19:N26)/SUM(L19:N26)</f>
        <v>0.421832884097035</v>
      </c>
      <c r="O28" s="15"/>
      <c r="P28" s="15"/>
      <c r="Q28" s="15"/>
      <c r="R28" s="15"/>
    </row>
    <row r="29" s="14" customFormat="1" ht="25.8" spans="1:18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15"/>
      <c r="P29" s="15"/>
      <c r="Q29" s="15"/>
      <c r="R29" s="15"/>
    </row>
    <row r="30" s="14" customFormat="1" ht="25.8" spans="1:14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</row>
    <row r="31" s="14" customFormat="1" ht="25.8" spans="1:14">
      <c r="A31" s="30" t="s">
        <v>14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4"/>
    </row>
    <row r="32" s="14" customFormat="1" spans="1:18">
      <c r="A32" s="18" t="s">
        <v>1</v>
      </c>
      <c r="B32" s="18" t="s">
        <v>2</v>
      </c>
      <c r="C32" s="18" t="s">
        <v>3</v>
      </c>
      <c r="D32" s="18"/>
      <c r="E32" s="18"/>
      <c r="F32" s="18" t="s">
        <v>4</v>
      </c>
      <c r="G32" s="18"/>
      <c r="H32" s="18"/>
      <c r="I32" s="18" t="s">
        <v>5</v>
      </c>
      <c r="J32" s="18"/>
      <c r="K32" s="18"/>
      <c r="L32" s="18" t="s">
        <v>6</v>
      </c>
      <c r="M32" s="18"/>
      <c r="N32" s="18"/>
      <c r="O32" s="15"/>
      <c r="P32" s="15"/>
      <c r="Q32" s="15"/>
      <c r="R32" s="15"/>
    </row>
    <row r="33" s="14" customFormat="1" spans="1:18">
      <c r="A33" s="18"/>
      <c r="B33" s="18"/>
      <c r="C33" s="18" t="s">
        <v>7</v>
      </c>
      <c r="D33" s="18" t="s">
        <v>8</v>
      </c>
      <c r="E33" s="18" t="s">
        <v>9</v>
      </c>
      <c r="F33" s="18" t="s">
        <v>7</v>
      </c>
      <c r="G33" s="18" t="s">
        <v>8</v>
      </c>
      <c r="H33" s="18" t="s">
        <v>9</v>
      </c>
      <c r="I33" s="18" t="s">
        <v>7</v>
      </c>
      <c r="J33" s="18" t="s">
        <v>8</v>
      </c>
      <c r="K33" s="18" t="s">
        <v>9</v>
      </c>
      <c r="L33" s="18" t="s">
        <v>7</v>
      </c>
      <c r="M33" s="18" t="s">
        <v>8</v>
      </c>
      <c r="N33" s="18" t="s">
        <v>9</v>
      </c>
      <c r="O33" s="15"/>
      <c r="P33" s="15"/>
      <c r="Q33" s="15"/>
      <c r="R33" s="15"/>
    </row>
    <row r="34" spans="1:14">
      <c r="A34" s="19">
        <v>0.729166666666667</v>
      </c>
      <c r="B34" s="19">
        <v>0.739583333333333</v>
      </c>
      <c r="C34" s="20">
        <v>67</v>
      </c>
      <c r="D34" s="20">
        <v>74</v>
      </c>
      <c r="E34" s="20">
        <v>59</v>
      </c>
      <c r="F34" s="20">
        <v>53</v>
      </c>
      <c r="G34" s="20">
        <v>52</v>
      </c>
      <c r="H34" s="20">
        <v>59</v>
      </c>
      <c r="I34" s="20">
        <v>52</v>
      </c>
      <c r="J34" s="20">
        <v>56</v>
      </c>
      <c r="K34" s="20">
        <v>32</v>
      </c>
      <c r="L34" s="20">
        <v>19</v>
      </c>
      <c r="M34" s="20">
        <v>71</v>
      </c>
      <c r="N34" s="20">
        <v>18</v>
      </c>
    </row>
    <row r="35" spans="1:14">
      <c r="A35" s="19">
        <v>0.739583333333333</v>
      </c>
      <c r="B35" s="19">
        <v>0.75</v>
      </c>
      <c r="C35" s="20">
        <v>63</v>
      </c>
      <c r="D35" s="20">
        <v>69</v>
      </c>
      <c r="E35" s="20">
        <v>56</v>
      </c>
      <c r="F35" s="20">
        <v>42</v>
      </c>
      <c r="G35" s="20">
        <v>48</v>
      </c>
      <c r="H35" s="20">
        <v>64</v>
      </c>
      <c r="I35" s="20">
        <v>47</v>
      </c>
      <c r="J35" s="20">
        <v>51</v>
      </c>
      <c r="K35" s="20">
        <v>38</v>
      </c>
      <c r="L35" s="20">
        <v>22</v>
      </c>
      <c r="M35" s="20">
        <v>67</v>
      </c>
      <c r="N35" s="20">
        <v>22</v>
      </c>
    </row>
    <row r="36" spans="1:14">
      <c r="A36" s="19">
        <v>0.75</v>
      </c>
      <c r="B36" s="19">
        <v>0.760416666666667</v>
      </c>
      <c r="C36" s="20">
        <v>61</v>
      </c>
      <c r="D36" s="20">
        <v>71</v>
      </c>
      <c r="E36" s="20">
        <v>52</v>
      </c>
      <c r="F36" s="20">
        <v>47</v>
      </c>
      <c r="G36" s="20">
        <v>74</v>
      </c>
      <c r="H36" s="20">
        <v>53</v>
      </c>
      <c r="I36" s="20">
        <v>49</v>
      </c>
      <c r="J36" s="20">
        <v>60</v>
      </c>
      <c r="K36" s="20">
        <v>29</v>
      </c>
      <c r="L36" s="20">
        <v>25</v>
      </c>
      <c r="M36" s="20">
        <v>74</v>
      </c>
      <c r="N36" s="20">
        <v>19</v>
      </c>
    </row>
    <row r="37" spans="1:14">
      <c r="A37" s="19">
        <v>0.760416666666667</v>
      </c>
      <c r="B37" s="19">
        <v>0.770833333333333</v>
      </c>
      <c r="C37" s="20">
        <v>49</v>
      </c>
      <c r="D37" s="20">
        <v>67</v>
      </c>
      <c r="E37" s="20">
        <v>61</v>
      </c>
      <c r="F37" s="20">
        <v>39</v>
      </c>
      <c r="G37" s="20">
        <v>46</v>
      </c>
      <c r="H37" s="20">
        <v>61</v>
      </c>
      <c r="I37" s="20">
        <v>55</v>
      </c>
      <c r="J37" s="20">
        <v>48</v>
      </c>
      <c r="K37" s="20">
        <v>41</v>
      </c>
      <c r="L37" s="20">
        <v>28</v>
      </c>
      <c r="M37" s="20">
        <v>88</v>
      </c>
      <c r="N37" s="20">
        <v>25</v>
      </c>
    </row>
    <row r="38" spans="1:14">
      <c r="A38" s="19">
        <v>0.770833333333333</v>
      </c>
      <c r="B38" s="19">
        <v>0.78125</v>
      </c>
      <c r="C38" s="20">
        <v>78</v>
      </c>
      <c r="D38" s="20">
        <v>76</v>
      </c>
      <c r="E38" s="20">
        <v>54</v>
      </c>
      <c r="F38" s="20">
        <v>45</v>
      </c>
      <c r="G38" s="20">
        <v>51</v>
      </c>
      <c r="H38" s="20">
        <v>50</v>
      </c>
      <c r="I38" s="20">
        <v>43</v>
      </c>
      <c r="J38" s="20">
        <v>53</v>
      </c>
      <c r="K38" s="20">
        <v>35</v>
      </c>
      <c r="L38" s="20">
        <v>28</v>
      </c>
      <c r="M38" s="20">
        <v>65</v>
      </c>
      <c r="N38" s="20">
        <v>31</v>
      </c>
    </row>
    <row r="39" spans="1:14">
      <c r="A39" s="19">
        <v>0.78125</v>
      </c>
      <c r="B39" s="19">
        <v>0.791666666666667</v>
      </c>
      <c r="C39" s="20">
        <v>52</v>
      </c>
      <c r="D39" s="20">
        <v>94</v>
      </c>
      <c r="E39" s="20">
        <v>57</v>
      </c>
      <c r="F39" s="20">
        <v>41</v>
      </c>
      <c r="G39" s="20">
        <v>49</v>
      </c>
      <c r="H39" s="20">
        <v>67</v>
      </c>
      <c r="I39" s="20">
        <v>58</v>
      </c>
      <c r="J39" s="20">
        <v>49</v>
      </c>
      <c r="K39" s="20">
        <v>43</v>
      </c>
      <c r="L39" s="20">
        <v>21</v>
      </c>
      <c r="M39" s="20">
        <v>69</v>
      </c>
      <c r="N39" s="20">
        <v>24</v>
      </c>
    </row>
    <row r="40" spans="1:14">
      <c r="A40" s="19">
        <v>0.791666666666667</v>
      </c>
      <c r="B40" s="19">
        <v>0.802083333333333</v>
      </c>
      <c r="C40" s="20">
        <v>64</v>
      </c>
      <c r="D40" s="20">
        <v>70</v>
      </c>
      <c r="E40" s="20">
        <v>63</v>
      </c>
      <c r="F40" s="20">
        <v>50</v>
      </c>
      <c r="G40" s="20">
        <v>58</v>
      </c>
      <c r="H40" s="20">
        <v>55</v>
      </c>
      <c r="I40" s="20">
        <v>41</v>
      </c>
      <c r="J40" s="20">
        <v>62</v>
      </c>
      <c r="K40" s="20">
        <v>40</v>
      </c>
      <c r="L40" s="20">
        <v>25</v>
      </c>
      <c r="M40" s="20">
        <v>63</v>
      </c>
      <c r="N40" s="20">
        <v>17</v>
      </c>
    </row>
    <row r="41" spans="1:14">
      <c r="A41" s="19">
        <v>0.802083333333333</v>
      </c>
      <c r="B41" s="19">
        <v>0.8125</v>
      </c>
      <c r="C41" s="20">
        <v>63</v>
      </c>
      <c r="D41" s="20">
        <v>63</v>
      </c>
      <c r="E41" s="20">
        <v>60</v>
      </c>
      <c r="F41" s="20">
        <v>35</v>
      </c>
      <c r="G41" s="20">
        <v>55</v>
      </c>
      <c r="H41" s="20">
        <v>71</v>
      </c>
      <c r="I41" s="20">
        <v>49</v>
      </c>
      <c r="J41" s="20">
        <v>78</v>
      </c>
      <c r="K41" s="20">
        <v>30</v>
      </c>
      <c r="L41" s="20">
        <v>30</v>
      </c>
      <c r="M41" s="20">
        <v>87</v>
      </c>
      <c r="N41" s="20">
        <v>24</v>
      </c>
    </row>
    <row r="42" spans="1:14">
      <c r="A42" s="21" t="s">
        <v>10</v>
      </c>
      <c r="B42" s="22" t="s">
        <v>11</v>
      </c>
      <c r="C42" s="23">
        <v>1543</v>
      </c>
      <c r="D42" s="23"/>
      <c r="E42" s="23"/>
      <c r="F42" s="23">
        <v>1265</v>
      </c>
      <c r="G42" s="23"/>
      <c r="H42" s="23"/>
      <c r="I42" s="23">
        <v>1139</v>
      </c>
      <c r="J42" s="23"/>
      <c r="K42" s="23"/>
      <c r="L42" s="23">
        <v>962</v>
      </c>
      <c r="M42" s="23"/>
      <c r="N42" s="23"/>
    </row>
    <row r="43" spans="1:14">
      <c r="A43" s="24"/>
      <c r="B43" s="25" t="s">
        <v>12</v>
      </c>
      <c r="C43" s="26">
        <f>SUM(C34:C41)/SUM(C34:E41)</f>
        <v>0.322099805573558</v>
      </c>
      <c r="D43" s="26">
        <f>SUM(D34:D41)/SUM(C34:E41)</f>
        <v>0.37848347375243</v>
      </c>
      <c r="E43" s="26">
        <f>SUM(E34:E41)/SUM(C34:E41)</f>
        <v>0.299416720674012</v>
      </c>
      <c r="F43" s="26">
        <f>SUM(F34:F41)/SUM(F34:H41)</f>
        <v>0.278260869565217</v>
      </c>
      <c r="G43" s="26">
        <f>SUM(G34:G41)/SUM(F34:H41)</f>
        <v>0.342292490118577</v>
      </c>
      <c r="H43" s="26">
        <f>SUM(H34:H41)/SUM(F34:H41)</f>
        <v>0.379446640316206</v>
      </c>
      <c r="I43" s="26">
        <f>SUM(I34:I41)/SUM(I34:K41)</f>
        <v>0.345917471466198</v>
      </c>
      <c r="J43" s="26">
        <f>SUM(J34:J41)/SUM(I34:K41)</f>
        <v>0.401229148375768</v>
      </c>
      <c r="K43" s="26">
        <f>SUM(K34:K41)/SUM(I34:K41)</f>
        <v>0.252853380158033</v>
      </c>
      <c r="L43" s="26">
        <f>SUM(L34:L41)/SUM(L34:N41)</f>
        <v>0.205821205821206</v>
      </c>
      <c r="M43" s="26">
        <f>SUM(M34:M41)/SUM(L34:N41)</f>
        <v>0.607068607068607</v>
      </c>
      <c r="N43" s="26">
        <v>0.18</v>
      </c>
    </row>
  </sheetData>
  <mergeCells count="36">
    <mergeCell ref="A1:N1"/>
    <mergeCell ref="C2:E2"/>
    <mergeCell ref="F2:H2"/>
    <mergeCell ref="I2:K2"/>
    <mergeCell ref="L2:N2"/>
    <mergeCell ref="C12:E12"/>
    <mergeCell ref="F12:H12"/>
    <mergeCell ref="I12:K12"/>
    <mergeCell ref="L12:N12"/>
    <mergeCell ref="A16:N16"/>
    <mergeCell ref="C17:E17"/>
    <mergeCell ref="F17:H17"/>
    <mergeCell ref="I17:K17"/>
    <mergeCell ref="L17:N17"/>
    <mergeCell ref="C27:E27"/>
    <mergeCell ref="F27:H27"/>
    <mergeCell ref="I27:K27"/>
    <mergeCell ref="L27:N27"/>
    <mergeCell ref="A31:N31"/>
    <mergeCell ref="C32:E32"/>
    <mergeCell ref="F32:H32"/>
    <mergeCell ref="I32:K32"/>
    <mergeCell ref="L32:N32"/>
    <mergeCell ref="C42:E42"/>
    <mergeCell ref="F42:H42"/>
    <mergeCell ref="I42:K42"/>
    <mergeCell ref="L42:N42"/>
    <mergeCell ref="A2:A3"/>
    <mergeCell ref="A12:A13"/>
    <mergeCell ref="A17:A18"/>
    <mergeCell ref="A27:A28"/>
    <mergeCell ref="A32:A33"/>
    <mergeCell ref="A42:A43"/>
    <mergeCell ref="B2:B3"/>
    <mergeCell ref="B17:B18"/>
    <mergeCell ref="B32:B33"/>
  </mergeCells>
  <pageMargins left="0.7" right="0.7" top="0.75" bottom="0.75" header="0.3" footer="0.3"/>
  <pageSetup paperSize="9" orientation="portrait"/>
  <headerFooter/>
  <ignoredErrors>
    <ignoredError sqref="C28 I28 L28 C13 F13 L13 C43 F43 I43 L4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selection activeCell="A1" sqref="A1:I1"/>
    </sheetView>
  </sheetViews>
  <sheetFormatPr defaultColWidth="9.00925925925926" defaultRowHeight="14.4"/>
  <cols>
    <col min="1" max="1" width="15.0092592592593" customWidth="1"/>
    <col min="2" max="2" width="23.6759259259259" customWidth="1"/>
    <col min="3" max="3" width="15.0092592592593" customWidth="1"/>
    <col min="4" max="4" width="16.1759259259259" customWidth="1"/>
    <col min="5" max="5" width="18.0092592592593" customWidth="1"/>
    <col min="6" max="7" width="17.3425925925926" customWidth="1"/>
    <col min="8" max="8" width="23.3425925925926" customWidth="1"/>
    <col min="9" max="9" width="25.1111111111111" customWidth="1"/>
  </cols>
  <sheetData>
    <row r="1" ht="38.75" customHeight="1" spans="1:9">
      <c r="A1" s="1" t="s">
        <v>15</v>
      </c>
      <c r="B1" s="1"/>
      <c r="C1" s="1"/>
      <c r="D1" s="1"/>
      <c r="E1" s="1"/>
      <c r="F1" s="1"/>
      <c r="G1" s="1"/>
      <c r="H1" s="1"/>
      <c r="I1" s="1"/>
    </row>
    <row r="2" ht="31.25" customHeight="1" spans="1:9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</row>
    <row r="3" ht="19.2" spans="1:9">
      <c r="A3" s="3" t="s">
        <v>25</v>
      </c>
      <c r="B3" s="4" t="s">
        <v>26</v>
      </c>
      <c r="C3" s="5">
        <v>1</v>
      </c>
      <c r="D3" s="5" t="s">
        <v>27</v>
      </c>
      <c r="E3" s="5">
        <v>57</v>
      </c>
      <c r="F3" s="5">
        <v>3</v>
      </c>
      <c r="G3" s="5"/>
      <c r="H3" s="5">
        <v>60</v>
      </c>
      <c r="I3" s="4">
        <v>137</v>
      </c>
    </row>
    <row r="4" ht="19.2" spans="1:9">
      <c r="A4" s="6"/>
      <c r="B4" s="7"/>
      <c r="C4" s="5">
        <v>2</v>
      </c>
      <c r="D4" s="5" t="s">
        <v>28</v>
      </c>
      <c r="E4" s="5">
        <v>26</v>
      </c>
      <c r="F4" s="5">
        <v>3</v>
      </c>
      <c r="G4" s="5"/>
      <c r="H4" s="5">
        <v>29</v>
      </c>
      <c r="I4" s="7"/>
    </row>
    <row r="5" ht="19.2" spans="1:9">
      <c r="A5" s="6"/>
      <c r="B5" s="7"/>
      <c r="C5" s="5">
        <v>3</v>
      </c>
      <c r="D5" s="5" t="s">
        <v>29</v>
      </c>
      <c r="E5" s="5">
        <v>45</v>
      </c>
      <c r="F5" s="5">
        <v>3</v>
      </c>
      <c r="G5" s="5"/>
      <c r="H5" s="5">
        <v>48</v>
      </c>
      <c r="I5" s="7"/>
    </row>
    <row r="6" ht="19.2" spans="1:9">
      <c r="A6" s="8"/>
      <c r="B6" s="9"/>
      <c r="C6" s="5"/>
      <c r="D6" s="5"/>
      <c r="E6" s="5"/>
      <c r="F6" s="5"/>
      <c r="G6" s="5"/>
      <c r="H6" s="5"/>
      <c r="I6" s="9"/>
    </row>
    <row r="7" ht="19.2" spans="1:9">
      <c r="A7" s="3" t="s">
        <v>30</v>
      </c>
      <c r="B7" s="4" t="s">
        <v>31</v>
      </c>
      <c r="C7" s="5">
        <v>1</v>
      </c>
      <c r="D7" s="5" t="s">
        <v>27</v>
      </c>
      <c r="E7" s="5">
        <v>57</v>
      </c>
      <c r="F7" s="5">
        <v>3</v>
      </c>
      <c r="G7" s="5"/>
      <c r="H7" s="5">
        <v>60</v>
      </c>
      <c r="I7" s="4">
        <v>137</v>
      </c>
    </row>
    <row r="8" ht="19.2" spans="1:9">
      <c r="A8" s="6"/>
      <c r="B8" s="7"/>
      <c r="C8" s="5">
        <v>2</v>
      </c>
      <c r="D8" s="5" t="s">
        <v>28</v>
      </c>
      <c r="E8" s="5">
        <v>26</v>
      </c>
      <c r="F8" s="5">
        <v>3</v>
      </c>
      <c r="G8" s="5"/>
      <c r="H8" s="5">
        <v>29</v>
      </c>
      <c r="I8" s="7"/>
    </row>
    <row r="9" ht="19.2" spans="1:9">
      <c r="A9" s="6"/>
      <c r="B9" s="7"/>
      <c r="C9" s="5">
        <v>3</v>
      </c>
      <c r="D9" s="5" t="s">
        <v>29</v>
      </c>
      <c r="E9" s="5">
        <v>45</v>
      </c>
      <c r="F9" s="5">
        <v>3</v>
      </c>
      <c r="G9" s="5"/>
      <c r="H9" s="5">
        <v>48</v>
      </c>
      <c r="I9" s="7"/>
    </row>
    <row r="10" ht="19.2" spans="1:9">
      <c r="A10" s="8"/>
      <c r="B10" s="9"/>
      <c r="C10" s="5"/>
      <c r="D10" s="5"/>
      <c r="E10" s="5"/>
      <c r="F10" s="5"/>
      <c r="G10" s="5"/>
      <c r="H10" s="5"/>
      <c r="I10" s="9"/>
    </row>
    <row r="11" ht="19.2" spans="1:9">
      <c r="A11" s="3" t="s">
        <v>32</v>
      </c>
      <c r="B11" s="4" t="s">
        <v>33</v>
      </c>
      <c r="C11" s="5">
        <v>1</v>
      </c>
      <c r="D11" s="5" t="s">
        <v>27</v>
      </c>
      <c r="E11" s="5">
        <v>57</v>
      </c>
      <c r="F11" s="5">
        <v>3</v>
      </c>
      <c r="G11" s="5"/>
      <c r="H11" s="5">
        <v>60</v>
      </c>
      <c r="I11" s="4">
        <v>137</v>
      </c>
    </row>
    <row r="12" ht="19.2" spans="1:9">
      <c r="A12" s="6"/>
      <c r="B12" s="7"/>
      <c r="C12" s="5">
        <v>2</v>
      </c>
      <c r="D12" s="5" t="s">
        <v>28</v>
      </c>
      <c r="E12" s="5">
        <v>26</v>
      </c>
      <c r="F12" s="5">
        <v>3</v>
      </c>
      <c r="G12" s="5"/>
      <c r="H12" s="5">
        <v>29</v>
      </c>
      <c r="I12" s="7"/>
    </row>
    <row r="13" ht="19.2" spans="1:9">
      <c r="A13" s="6"/>
      <c r="B13" s="7"/>
      <c r="C13" s="5">
        <v>3</v>
      </c>
      <c r="D13" s="5" t="s">
        <v>29</v>
      </c>
      <c r="E13" s="5">
        <v>45</v>
      </c>
      <c r="F13" s="5">
        <v>3</v>
      </c>
      <c r="G13" s="5"/>
      <c r="H13" s="5">
        <v>48</v>
      </c>
      <c r="I13" s="7"/>
    </row>
    <row r="14" ht="19.2" spans="1:9">
      <c r="A14" s="8"/>
      <c r="B14" s="9"/>
      <c r="C14" s="5"/>
      <c r="D14" s="5"/>
      <c r="E14" s="5"/>
      <c r="F14" s="5"/>
      <c r="G14" s="5"/>
      <c r="H14" s="5"/>
      <c r="I14" s="9"/>
    </row>
    <row r="15" ht="19.2" spans="1:9">
      <c r="A15" s="10"/>
      <c r="B15" s="11"/>
      <c r="I15" s="11"/>
    </row>
    <row r="16" ht="20.4" spans="1:9">
      <c r="A16" s="12"/>
      <c r="B16" s="11"/>
      <c r="I16" s="11"/>
    </row>
    <row r="17" ht="20.4" spans="1:9">
      <c r="A17" s="12"/>
      <c r="B17" s="11"/>
      <c r="I17" s="11"/>
    </row>
    <row r="18" spans="1:9">
      <c r="A18" s="13"/>
      <c r="B18" s="13"/>
      <c r="C18" s="13"/>
      <c r="D18" s="13"/>
      <c r="E18" s="13"/>
      <c r="F18" s="13"/>
      <c r="G18" s="13"/>
      <c r="H18" s="13"/>
      <c r="I18" s="13"/>
    </row>
    <row r="19" spans="1:9">
      <c r="A19" s="13"/>
      <c r="B19" s="13"/>
      <c r="C19" s="13"/>
      <c r="D19" s="13"/>
      <c r="E19" s="13"/>
      <c r="F19" s="13"/>
      <c r="G19" s="13"/>
      <c r="H19" s="13"/>
      <c r="I19" s="13"/>
    </row>
    <row r="20" spans="1:9">
      <c r="A20" s="13"/>
      <c r="B20" s="13"/>
      <c r="C20" s="13"/>
      <c r="D20" s="13"/>
      <c r="E20" s="13"/>
      <c r="F20" s="13"/>
      <c r="G20" s="13"/>
      <c r="H20" s="13"/>
      <c r="I20" s="13"/>
    </row>
  </sheetData>
  <mergeCells count="10">
    <mergeCell ref="A1:I1"/>
    <mergeCell ref="A3:A6"/>
    <mergeCell ref="A7:A10"/>
    <mergeCell ref="A11:A14"/>
    <mergeCell ref="B3:B6"/>
    <mergeCell ref="B7:B10"/>
    <mergeCell ref="B11:B14"/>
    <mergeCell ref="I3:I6"/>
    <mergeCell ref="I7:I10"/>
    <mergeCell ref="I11:I1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流量数据</vt:lpstr>
      <vt:lpstr>信号配时数据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w-_-zp</cp:lastModifiedBy>
  <dcterms:created xsi:type="dcterms:W3CDTF">2023-05-12T11:15:00Z</dcterms:created>
  <dcterms:modified xsi:type="dcterms:W3CDTF">2026-05-26T05:10:38Z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FEA43A13266646959DA8003B525A7D92_13</vt:lpwstr>
  </property>
  <property fmtid="{D5CDD505-2E9C-101B-9397-08002B2CF9AE}" pid="4" name="CalculationRule">
    <vt:i4>0</vt:i4>
  </property>
</Properties>
</file>