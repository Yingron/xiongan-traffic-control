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<sst xmlns="http://schemas.openxmlformats.org/spreadsheetml/2006/main" count="88" uniqueCount="33">
  <si>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</si>
  <si>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</si>
  <si>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</si>
  <si>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</si>
  <si>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</si>
  <si>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</si>
  <si>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</si>
  <si>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</si>
  <si>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</si>
  <si>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</si>
  <si>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</si>
  <si>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</si>
  <si>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</si>
  <si>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</si>
  <si>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</si>
  <si>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</si>
  <si>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</si>
  <si>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</si>
  <si>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</si>
  <si>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</si>
  <si>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</si>
  <si>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</si>
  <si>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</si>
  <si>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</si>
  <si>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</si>
  <si>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</si>
  <si>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</si>
  <si>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东西向直行</t>
  </si>
  <si>
    <t>东南向左转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</si>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</sst>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85" zoomScaleNormal="85" workbookViewId="0">
      <selection activeCell="O28" sqref="O28"/>
    </sheetView>
  </sheetViews>
  <sheetFormatPr defaultColWidth="10.6296296296296" defaultRowHeight="17.4"/>
  <cols>
    <col min="1" max="2" width="17.3796296296296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122</v>
      </c>
      <c r="D4" s="20">
        <v>44</v>
      </c>
      <c r="E4" s="20"/>
      <c r="F4" s="20"/>
      <c r="G4" s="20">
        <v>56</v>
      </c>
      <c r="H4" s="20">
        <v>73</v>
      </c>
      <c r="I4" s="20"/>
      <c r="J4" s="20"/>
      <c r="K4" s="20"/>
      <c r="L4" s="20">
        <v>95</v>
      </c>
      <c r="M4" s="20"/>
      <c r="N4" s="20">
        <v>60</v>
      </c>
    </row>
    <row r="5" spans="1:14">
      <c r="A5" s="19">
        <v>0.302083333333333</v>
      </c>
      <c r="B5" s="19">
        <v>0.3125</v>
      </c>
      <c r="C5" s="20">
        <v>124</v>
      </c>
      <c r="D5" s="20">
        <v>42</v>
      </c>
      <c r="E5" s="20"/>
      <c r="F5" s="20"/>
      <c r="G5" s="20">
        <v>54</v>
      </c>
      <c r="H5" s="20">
        <v>76</v>
      </c>
      <c r="I5" s="20"/>
      <c r="J5" s="20"/>
      <c r="K5" s="20"/>
      <c r="L5" s="20">
        <v>97</v>
      </c>
      <c r="M5" s="20"/>
      <c r="N5" s="20">
        <v>61</v>
      </c>
    </row>
    <row r="6" spans="1:14">
      <c r="A6" s="19">
        <v>0.3125</v>
      </c>
      <c r="B6" s="19">
        <v>0.322916666666667</v>
      </c>
      <c r="C6" s="20">
        <v>123</v>
      </c>
      <c r="D6" s="20">
        <v>44</v>
      </c>
      <c r="E6" s="20"/>
      <c r="F6" s="20"/>
      <c r="G6" s="20">
        <v>57</v>
      </c>
      <c r="H6" s="20">
        <v>75</v>
      </c>
      <c r="I6" s="20"/>
      <c r="J6" s="20"/>
      <c r="K6" s="20"/>
      <c r="L6" s="20">
        <v>95</v>
      </c>
      <c r="M6" s="20"/>
      <c r="N6" s="20">
        <v>61</v>
      </c>
    </row>
    <row r="7" spans="1:14">
      <c r="A7" s="19">
        <v>0.322916666666667</v>
      </c>
      <c r="B7" s="19">
        <v>0.333333333333333</v>
      </c>
      <c r="C7" s="20">
        <v>119</v>
      </c>
      <c r="D7" s="20">
        <v>41</v>
      </c>
      <c r="E7" s="20"/>
      <c r="F7" s="20"/>
      <c r="G7" s="20">
        <v>58</v>
      </c>
      <c r="H7" s="20">
        <v>76</v>
      </c>
      <c r="I7" s="20"/>
      <c r="J7" s="20"/>
      <c r="K7" s="20"/>
      <c r="L7" s="20">
        <v>97</v>
      </c>
      <c r="M7" s="20"/>
      <c r="N7" s="20">
        <v>61</v>
      </c>
    </row>
    <row r="8" spans="1:14">
      <c r="A8" s="19">
        <v>0.333333333333333</v>
      </c>
      <c r="B8" s="19">
        <v>0.34375</v>
      </c>
      <c r="C8" s="20">
        <v>123</v>
      </c>
      <c r="D8" s="20">
        <v>41</v>
      </c>
      <c r="E8" s="20"/>
      <c r="F8" s="20"/>
      <c r="G8" s="20">
        <v>57</v>
      </c>
      <c r="H8" s="20">
        <v>72</v>
      </c>
      <c r="I8" s="20"/>
      <c r="J8" s="20"/>
      <c r="K8" s="20"/>
      <c r="L8" s="20">
        <v>93</v>
      </c>
      <c r="M8" s="20"/>
      <c r="N8" s="20">
        <v>60</v>
      </c>
    </row>
    <row r="9" spans="1:14">
      <c r="A9" s="19">
        <v>0.34375</v>
      </c>
      <c r="B9" s="19">
        <v>0.354166666666667</v>
      </c>
      <c r="C9" s="20">
        <v>122</v>
      </c>
      <c r="D9" s="20">
        <v>44</v>
      </c>
      <c r="E9" s="20"/>
      <c r="F9" s="20"/>
      <c r="G9" s="20">
        <v>58</v>
      </c>
      <c r="H9" s="20">
        <v>77</v>
      </c>
      <c r="I9" s="20"/>
      <c r="J9" s="20"/>
      <c r="K9" s="20"/>
      <c r="L9" s="20">
        <v>94</v>
      </c>
      <c r="M9" s="20"/>
      <c r="N9" s="20">
        <v>58</v>
      </c>
    </row>
    <row r="10" spans="1:14">
      <c r="A10" s="19">
        <v>0.354166666666667</v>
      </c>
      <c r="B10" s="19">
        <v>0.364583333333333</v>
      </c>
      <c r="C10" s="20">
        <v>122</v>
      </c>
      <c r="D10" s="20">
        <v>43</v>
      </c>
      <c r="E10" s="20"/>
      <c r="F10" s="20"/>
      <c r="G10" s="20">
        <v>56</v>
      </c>
      <c r="H10" s="20">
        <v>76</v>
      </c>
      <c r="I10" s="20"/>
      <c r="J10" s="20"/>
      <c r="K10" s="20"/>
      <c r="L10" s="20">
        <v>95</v>
      </c>
      <c r="M10" s="20"/>
      <c r="N10" s="20">
        <v>61</v>
      </c>
    </row>
    <row r="11" spans="1:14">
      <c r="A11" s="19">
        <v>0.364583333333333</v>
      </c>
      <c r="B11" s="19">
        <v>0.375</v>
      </c>
      <c r="C11" s="20">
        <v>119</v>
      </c>
      <c r="D11" s="20">
        <v>44</v>
      </c>
      <c r="E11" s="20"/>
      <c r="F11" s="20"/>
      <c r="G11" s="20">
        <v>54</v>
      </c>
      <c r="H11" s="20">
        <v>73</v>
      </c>
      <c r="I11" s="20"/>
      <c r="J11" s="20"/>
      <c r="K11" s="20"/>
      <c r="L11" s="20">
        <v>93</v>
      </c>
      <c r="M11" s="20"/>
      <c r="N11" s="20">
        <v>63</v>
      </c>
    </row>
    <row r="12" spans="1:14">
      <c r="A12" s="21" t="s">
        <v>10</v>
      </c>
      <c r="B12" s="22" t="s">
        <v>11</v>
      </c>
      <c r="C12" s="23">
        <v>1317</v>
      </c>
      <c r="D12" s="23"/>
      <c r="E12" s="23"/>
      <c r="F12" s="23">
        <v>1048</v>
      </c>
      <c r="G12" s="23"/>
      <c r="H12" s="23"/>
      <c r="I12" s="23"/>
      <c r="J12" s="23"/>
      <c r="K12" s="23"/>
      <c r="L12" s="23">
        <v>1244</v>
      </c>
      <c r="M12" s="23"/>
      <c r="N12" s="23"/>
    </row>
    <row r="13" spans="1:14">
      <c r="A13" s="24"/>
      <c r="B13" s="25" t="s">
        <v>12</v>
      </c>
      <c r="C13" s="26">
        <f>SUM(C4:C11)/SUM(C4:E11)</f>
        <v>0.73955960516325</v>
      </c>
      <c r="D13" s="26">
        <f>SUM(D4:D11)/SUM(C4:E11)</f>
        <v>0.26044039483675</v>
      </c>
      <c r="E13" s="26"/>
      <c r="F13" s="26"/>
      <c r="G13" s="26">
        <f>SUM(G4:G11)/SUM(F4:H11)</f>
        <v>0.429389312977099</v>
      </c>
      <c r="H13" s="26">
        <f>SUM(H4:H11)/SUM(F4:H11)</f>
        <v>0.570610687022901</v>
      </c>
      <c r="I13" s="26"/>
      <c r="J13" s="26"/>
      <c r="K13" s="26"/>
      <c r="L13" s="26">
        <f>SUM(L4:L11)/SUM(L4:N11)</f>
        <v>0.610128617363344</v>
      </c>
      <c r="M13" s="26"/>
      <c r="N13" s="26">
        <f>SUM(N4:N11)/SUM(L4:N11)</f>
        <v>0.389871382636656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51</v>
      </c>
      <c r="D19" s="20">
        <v>25</v>
      </c>
      <c r="E19" s="20"/>
      <c r="F19" s="20"/>
      <c r="G19" s="20">
        <v>36</v>
      </c>
      <c r="H19" s="20">
        <v>41</v>
      </c>
      <c r="I19" s="20"/>
      <c r="J19" s="20"/>
      <c r="K19" s="20"/>
      <c r="L19" s="20">
        <v>34</v>
      </c>
      <c r="M19" s="20"/>
      <c r="N19" s="20">
        <v>42</v>
      </c>
    </row>
    <row r="20" spans="1:14">
      <c r="A20" s="19">
        <v>0.614583333333333</v>
      </c>
      <c r="B20" s="19">
        <v>0.625</v>
      </c>
      <c r="C20" s="20">
        <v>54</v>
      </c>
      <c r="D20" s="20">
        <v>25</v>
      </c>
      <c r="E20" s="20"/>
      <c r="F20" s="20"/>
      <c r="G20" s="20">
        <v>40</v>
      </c>
      <c r="H20" s="20">
        <v>45</v>
      </c>
      <c r="I20" s="20"/>
      <c r="J20" s="20"/>
      <c r="K20" s="20"/>
      <c r="L20" s="20">
        <v>34</v>
      </c>
      <c r="M20" s="20"/>
      <c r="N20" s="20">
        <v>46</v>
      </c>
    </row>
    <row r="21" spans="1:14">
      <c r="A21" s="19">
        <v>0.625</v>
      </c>
      <c r="B21" s="19">
        <v>0.635416666666667</v>
      </c>
      <c r="C21" s="20">
        <v>55</v>
      </c>
      <c r="D21" s="20">
        <v>25</v>
      </c>
      <c r="E21" s="20"/>
      <c r="F21" s="20"/>
      <c r="G21" s="20">
        <v>38</v>
      </c>
      <c r="H21" s="20">
        <v>44</v>
      </c>
      <c r="I21" s="20"/>
      <c r="J21" s="20"/>
      <c r="K21" s="20"/>
      <c r="L21" s="20">
        <v>30</v>
      </c>
      <c r="M21" s="20"/>
      <c r="N21" s="20">
        <v>45</v>
      </c>
    </row>
    <row r="22" spans="1:14">
      <c r="A22" s="19">
        <v>0.635416666666667</v>
      </c>
      <c r="B22" s="19">
        <v>0.645833333333333</v>
      </c>
      <c r="C22" s="20">
        <v>53</v>
      </c>
      <c r="D22" s="20">
        <v>26</v>
      </c>
      <c r="E22" s="20"/>
      <c r="F22" s="20"/>
      <c r="G22" s="20">
        <v>36</v>
      </c>
      <c r="H22" s="20">
        <v>45</v>
      </c>
      <c r="I22" s="20"/>
      <c r="J22" s="20"/>
      <c r="K22" s="20"/>
      <c r="L22" s="20">
        <v>32</v>
      </c>
      <c r="M22" s="20"/>
      <c r="N22" s="20">
        <v>42</v>
      </c>
    </row>
    <row r="23" spans="1:14">
      <c r="A23" s="19">
        <v>0.645833333333333</v>
      </c>
      <c r="B23" s="19">
        <v>0.65625</v>
      </c>
      <c r="C23" s="20">
        <v>53</v>
      </c>
      <c r="D23" s="20">
        <v>25</v>
      </c>
      <c r="E23" s="20"/>
      <c r="F23" s="20"/>
      <c r="G23" s="20">
        <v>40</v>
      </c>
      <c r="H23" s="20">
        <v>43</v>
      </c>
      <c r="I23" s="20"/>
      <c r="J23" s="20"/>
      <c r="K23" s="20"/>
      <c r="L23" s="20">
        <v>30</v>
      </c>
      <c r="M23" s="20"/>
      <c r="N23" s="20">
        <v>45</v>
      </c>
    </row>
    <row r="24" spans="1:14">
      <c r="A24" s="19">
        <v>0.65625</v>
      </c>
      <c r="B24" s="19">
        <v>0.666666666666667</v>
      </c>
      <c r="C24" s="20">
        <v>54</v>
      </c>
      <c r="D24" s="20">
        <v>25</v>
      </c>
      <c r="E24" s="20"/>
      <c r="F24" s="20"/>
      <c r="G24" s="20">
        <v>36</v>
      </c>
      <c r="H24" s="20">
        <v>46</v>
      </c>
      <c r="I24" s="20"/>
      <c r="J24" s="20"/>
      <c r="K24" s="20"/>
      <c r="L24" s="20">
        <v>32</v>
      </c>
      <c r="M24" s="20"/>
      <c r="N24" s="20">
        <v>46</v>
      </c>
    </row>
    <row r="25" spans="1:14">
      <c r="A25" s="19">
        <v>0.666666666666667</v>
      </c>
      <c r="B25" s="19">
        <v>0.677083333333333</v>
      </c>
      <c r="C25" s="20">
        <v>51</v>
      </c>
      <c r="D25" s="20">
        <v>24</v>
      </c>
      <c r="E25" s="20"/>
      <c r="F25" s="20"/>
      <c r="G25" s="20">
        <v>35</v>
      </c>
      <c r="H25" s="20">
        <v>42</v>
      </c>
      <c r="I25" s="20"/>
      <c r="J25" s="20"/>
      <c r="K25" s="20"/>
      <c r="L25" s="20">
        <v>31</v>
      </c>
      <c r="M25" s="20"/>
      <c r="N25" s="20">
        <v>46</v>
      </c>
    </row>
    <row r="26" spans="1:14">
      <c r="A26" s="19">
        <v>0.677083333333333</v>
      </c>
      <c r="B26" s="19">
        <v>0.6875</v>
      </c>
      <c r="C26" s="20">
        <v>52</v>
      </c>
      <c r="D26" s="20">
        <v>24</v>
      </c>
      <c r="E26" s="20"/>
      <c r="F26" s="20"/>
      <c r="G26" s="20">
        <v>40</v>
      </c>
      <c r="H26" s="20">
        <v>45</v>
      </c>
      <c r="I26" s="20"/>
      <c r="J26" s="20"/>
      <c r="K26" s="20"/>
      <c r="L26" s="20">
        <v>33</v>
      </c>
      <c r="M26" s="20"/>
      <c r="N26" s="20">
        <v>42</v>
      </c>
    </row>
    <row r="27" spans="1:14">
      <c r="A27" s="21" t="s">
        <v>10</v>
      </c>
      <c r="B27" s="22" t="s">
        <v>11</v>
      </c>
      <c r="C27" s="23">
        <v>622</v>
      </c>
      <c r="D27" s="23"/>
      <c r="E27" s="23"/>
      <c r="F27" s="23">
        <v>652</v>
      </c>
      <c r="G27" s="23"/>
      <c r="H27" s="23"/>
      <c r="I27" s="23"/>
      <c r="J27" s="23"/>
      <c r="K27" s="23"/>
      <c r="L27" s="23">
        <v>610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0.680064308681672</v>
      </c>
      <c r="D28" s="26">
        <f>SUM(D19:D26)/SUM(C19:E26)</f>
        <v>0.319935691318328</v>
      </c>
      <c r="E28" s="26"/>
      <c r="F28" s="26"/>
      <c r="G28" s="26">
        <f>SUM(G19:G26)/SUM(F19:H26)</f>
        <v>0.461656441717791</v>
      </c>
      <c r="H28" s="26">
        <f>SUM(H19:H26)/SUM(F19:H26)</f>
        <v>0.538343558282209</v>
      </c>
      <c r="I28" s="26"/>
      <c r="J28" s="26"/>
      <c r="K28" s="26"/>
      <c r="L28" s="26">
        <f>SUM(L19:L26)/SUM(L19:N26)</f>
        <v>0.419672131147541</v>
      </c>
      <c r="M28" s="26"/>
      <c r="N28" s="26">
        <f>SUM(N19:N26)/SUM(L19:N26)</f>
        <v>0.580327868852459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44</v>
      </c>
      <c r="D34" s="20">
        <v>83</v>
      </c>
      <c r="E34" s="20"/>
      <c r="F34" s="20"/>
      <c r="G34" s="20">
        <v>94</v>
      </c>
      <c r="H34" s="20">
        <v>82</v>
      </c>
      <c r="I34" s="20"/>
      <c r="J34" s="20"/>
      <c r="K34" s="20"/>
      <c r="L34" s="20">
        <v>75</v>
      </c>
      <c r="M34" s="20"/>
      <c r="N34" s="20">
        <v>83</v>
      </c>
    </row>
    <row r="35" spans="1:14">
      <c r="A35" s="19">
        <v>0.739583333333333</v>
      </c>
      <c r="B35" s="19">
        <v>0.75</v>
      </c>
      <c r="C35" s="20">
        <v>47</v>
      </c>
      <c r="D35" s="20">
        <v>80</v>
      </c>
      <c r="E35" s="20"/>
      <c r="F35" s="20"/>
      <c r="G35" s="20">
        <v>98</v>
      </c>
      <c r="H35" s="20">
        <v>78</v>
      </c>
      <c r="I35" s="20"/>
      <c r="J35" s="20"/>
      <c r="K35" s="20"/>
      <c r="L35" s="20">
        <v>77</v>
      </c>
      <c r="M35" s="20"/>
      <c r="N35" s="20">
        <v>84</v>
      </c>
    </row>
    <row r="36" spans="1:14">
      <c r="A36" s="19">
        <v>0.75</v>
      </c>
      <c r="B36" s="19">
        <v>0.760416666666667</v>
      </c>
      <c r="C36" s="20">
        <v>45</v>
      </c>
      <c r="D36" s="20">
        <v>78</v>
      </c>
      <c r="E36" s="20"/>
      <c r="F36" s="20"/>
      <c r="G36" s="20">
        <v>99</v>
      </c>
      <c r="H36" s="20">
        <v>79</v>
      </c>
      <c r="I36" s="20"/>
      <c r="J36" s="20"/>
      <c r="K36" s="20"/>
      <c r="L36" s="20">
        <v>76</v>
      </c>
      <c r="M36" s="20"/>
      <c r="N36" s="20">
        <v>86</v>
      </c>
    </row>
    <row r="37" spans="1:14">
      <c r="A37" s="19">
        <v>0.760416666666667</v>
      </c>
      <c r="B37" s="19">
        <v>0.770833333333333</v>
      </c>
      <c r="C37" s="20">
        <v>45</v>
      </c>
      <c r="D37" s="20">
        <v>81</v>
      </c>
      <c r="E37" s="20"/>
      <c r="F37" s="20"/>
      <c r="G37" s="20">
        <v>101</v>
      </c>
      <c r="H37" s="20">
        <v>79</v>
      </c>
      <c r="I37" s="20"/>
      <c r="J37" s="20"/>
      <c r="K37" s="20"/>
      <c r="L37" s="20">
        <v>78</v>
      </c>
      <c r="M37" s="20"/>
      <c r="N37" s="20">
        <v>85</v>
      </c>
    </row>
    <row r="38" spans="1:14">
      <c r="A38" s="19">
        <v>0.770833333333333</v>
      </c>
      <c r="B38" s="19">
        <v>0.78125</v>
      </c>
      <c r="C38" s="20">
        <v>45</v>
      </c>
      <c r="D38" s="20">
        <v>78</v>
      </c>
      <c r="E38" s="20"/>
      <c r="F38" s="20"/>
      <c r="G38" s="20">
        <v>94</v>
      </c>
      <c r="H38" s="20">
        <v>77</v>
      </c>
      <c r="I38" s="20"/>
      <c r="J38" s="20"/>
      <c r="K38" s="20"/>
      <c r="L38" s="20">
        <v>76</v>
      </c>
      <c r="M38" s="20"/>
      <c r="N38" s="20">
        <v>87</v>
      </c>
    </row>
    <row r="39" spans="1:14">
      <c r="A39" s="19">
        <v>0.78125</v>
      </c>
      <c r="B39" s="19">
        <v>0.791666666666667</v>
      </c>
      <c r="C39" s="20">
        <v>46</v>
      </c>
      <c r="D39" s="20">
        <v>82</v>
      </c>
      <c r="E39" s="20"/>
      <c r="F39" s="20"/>
      <c r="G39" s="20">
        <v>99</v>
      </c>
      <c r="H39" s="20">
        <v>82</v>
      </c>
      <c r="I39" s="20"/>
      <c r="J39" s="20"/>
      <c r="K39" s="20"/>
      <c r="L39" s="20">
        <v>75</v>
      </c>
      <c r="M39" s="20"/>
      <c r="N39" s="20">
        <v>86</v>
      </c>
    </row>
    <row r="40" spans="1:14">
      <c r="A40" s="19">
        <v>0.791666666666667</v>
      </c>
      <c r="B40" s="19">
        <v>0.802083333333333</v>
      </c>
      <c r="C40" s="20">
        <v>44</v>
      </c>
      <c r="D40" s="20">
        <v>83</v>
      </c>
      <c r="E40" s="20"/>
      <c r="F40" s="20"/>
      <c r="G40" s="20">
        <v>100</v>
      </c>
      <c r="H40" s="20">
        <v>79</v>
      </c>
      <c r="I40" s="20"/>
      <c r="J40" s="20"/>
      <c r="K40" s="20"/>
      <c r="L40" s="20">
        <v>74</v>
      </c>
      <c r="M40" s="20"/>
      <c r="N40" s="20">
        <v>84</v>
      </c>
    </row>
    <row r="41" spans="1:14">
      <c r="A41" s="19">
        <v>0.802083333333333</v>
      </c>
      <c r="B41" s="19">
        <v>0.8125</v>
      </c>
      <c r="C41" s="20">
        <v>46</v>
      </c>
      <c r="D41" s="20">
        <v>80</v>
      </c>
      <c r="E41" s="20"/>
      <c r="F41" s="20"/>
      <c r="G41" s="20">
        <v>95</v>
      </c>
      <c r="H41" s="20">
        <v>82</v>
      </c>
      <c r="I41" s="20"/>
      <c r="J41" s="20"/>
      <c r="K41" s="20"/>
      <c r="L41" s="20">
        <v>74</v>
      </c>
      <c r="M41" s="20"/>
      <c r="N41" s="20">
        <v>86</v>
      </c>
    </row>
    <row r="42" spans="1:14">
      <c r="A42" s="21" t="s">
        <v>10</v>
      </c>
      <c r="B42" s="22" t="s">
        <v>11</v>
      </c>
      <c r="C42" s="23">
        <v>1007</v>
      </c>
      <c r="D42" s="23"/>
      <c r="E42" s="23"/>
      <c r="F42" s="23">
        <v>1418</v>
      </c>
      <c r="G42" s="23"/>
      <c r="H42" s="23"/>
      <c r="I42" s="23"/>
      <c r="J42" s="23"/>
      <c r="K42" s="23"/>
      <c r="L42" s="23">
        <v>1286</v>
      </c>
      <c r="M42" s="23"/>
      <c r="N42" s="23"/>
    </row>
    <row r="43" spans="1:14">
      <c r="A43" s="24"/>
      <c r="B43" s="25" t="s">
        <v>12</v>
      </c>
      <c r="C43" s="26">
        <f>SUM(C34:C41)/SUM(C34:E41)</f>
        <v>0.35948361469712</v>
      </c>
      <c r="D43" s="26">
        <f>SUM(D34:D41)/SUM(C34:E41)</f>
        <v>0.64051638530288</v>
      </c>
      <c r="E43" s="26"/>
      <c r="F43" s="26"/>
      <c r="G43" s="26">
        <f>SUM(G34:G41)/SUM(F34:H41)</f>
        <v>0.550070521861777</v>
      </c>
      <c r="H43" s="26">
        <f>SUM(H34:H41)/SUM(F34:H41)</f>
        <v>0.449929478138223</v>
      </c>
      <c r="I43" s="26"/>
      <c r="J43" s="26"/>
      <c r="K43" s="26"/>
      <c r="L43" s="26">
        <f>SUM(L34:L41)/SUM(L34:N41)</f>
        <v>0.47045101088647</v>
      </c>
      <c r="M43" s="26"/>
      <c r="N43" s="26">
        <f>SUM(N34:N41)/SUM(L34:N41)</f>
        <v>0.52954898911353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D12" sqref="D12"/>
    </sheetView>
  </sheetViews>
  <sheetFormatPr defaultColWidth="9" defaultRowHeight="14.4"/>
  <cols>
    <col min="1" max="1" width="15" customWidth="1"/>
    <col min="2" max="2" width="23.6296296296296" customWidth="1"/>
    <col min="3" max="3" width="15" customWidth="1"/>
    <col min="4" max="4" width="16.1296296296296" customWidth="1"/>
    <col min="5" max="5" width="18" customWidth="1"/>
    <col min="6" max="7" width="17.3796296296296" customWidth="1"/>
    <col min="8" max="8" width="23.3796296296296" customWidth="1"/>
    <col min="9" max="9" width="25.1296296296296" customWidth="1"/>
  </cols>
  <sheetData>
    <row r="1" ht="38.8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3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47</v>
      </c>
      <c r="F3" s="5">
        <v>3</v>
      </c>
      <c r="G3" s="5">
        <v>2</v>
      </c>
      <c r="H3" s="5">
        <v>52</v>
      </c>
      <c r="I3" s="4">
        <v>120</v>
      </c>
    </row>
    <row r="4" ht="19.2" spans="1:9">
      <c r="A4" s="6"/>
      <c r="B4" s="7"/>
      <c r="C4" s="5">
        <v>2</v>
      </c>
      <c r="D4" s="5" t="s">
        <v>28</v>
      </c>
      <c r="E4" s="5">
        <v>63</v>
      </c>
      <c r="F4" s="5">
        <v>3</v>
      </c>
      <c r="G4" s="5">
        <v>2</v>
      </c>
      <c r="H4" s="5">
        <v>68</v>
      </c>
      <c r="I4" s="7"/>
    </row>
    <row r="5" ht="19.2" spans="1:9">
      <c r="A5" s="3" t="s">
        <v>29</v>
      </c>
      <c r="B5" s="4" t="s">
        <v>30</v>
      </c>
      <c r="C5" s="5">
        <v>1</v>
      </c>
      <c r="D5" s="5" t="s">
        <v>27</v>
      </c>
      <c r="E5" s="5">
        <v>40</v>
      </c>
      <c r="F5" s="5">
        <v>3</v>
      </c>
      <c r="G5" s="5">
        <v>2</v>
      </c>
      <c r="H5" s="5">
        <v>45</v>
      </c>
      <c r="I5" s="4">
        <v>90</v>
      </c>
    </row>
    <row r="6" ht="19.2" spans="1:9">
      <c r="A6" s="6"/>
      <c r="B6" s="7"/>
      <c r="C6" s="5">
        <v>2</v>
      </c>
      <c r="D6" s="5" t="s">
        <v>28</v>
      </c>
      <c r="E6" s="5">
        <v>40</v>
      </c>
      <c r="F6" s="5">
        <v>3</v>
      </c>
      <c r="G6" s="5">
        <v>2</v>
      </c>
      <c r="H6" s="5">
        <v>45</v>
      </c>
      <c r="I6" s="7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59</v>
      </c>
      <c r="F7" s="5">
        <v>3</v>
      </c>
      <c r="G7" s="5">
        <v>2</v>
      </c>
      <c r="H7" s="5">
        <v>64</v>
      </c>
      <c r="I7" s="4">
        <v>120</v>
      </c>
    </row>
    <row r="8" ht="19.2" spans="1:9">
      <c r="A8" s="8"/>
      <c r="B8" s="9"/>
      <c r="C8" s="5">
        <v>2</v>
      </c>
      <c r="D8" s="5" t="s">
        <v>28</v>
      </c>
      <c r="E8" s="5">
        <v>51</v>
      </c>
      <c r="F8" s="5">
        <v>3</v>
      </c>
      <c r="G8" s="5">
        <v>2</v>
      </c>
      <c r="H8" s="5">
        <v>56</v>
      </c>
      <c r="I8" s="9"/>
    </row>
    <row r="9" ht="19.2" spans="1:9">
      <c r="A9" s="10"/>
      <c r="B9" s="11"/>
      <c r="I9" s="11"/>
    </row>
    <row r="10" ht="20.4" spans="1:9">
      <c r="A10" s="12"/>
      <c r="B10" s="11"/>
      <c r="I10" s="11"/>
    </row>
    <row r="11" ht="20.4" spans="1:9">
      <c r="A11" s="12"/>
      <c r="B11" s="11"/>
      <c r="I11" s="11"/>
    </row>
    <row r="12" spans="1:9">
      <c r="A12" s="13"/>
      <c r="B12" s="13"/>
      <c r="C12" s="13"/>
      <c r="D12" s="13"/>
      <c r="E12" s="13"/>
      <c r="F12" s="13"/>
      <c r="G12" s="13"/>
      <c r="H12" s="13"/>
      <c r="I12" s="13"/>
    </row>
    <row r="13" spans="1:9">
      <c r="A13" s="13"/>
      <c r="B13" s="13"/>
      <c r="C13" s="13"/>
      <c r="D13" s="13"/>
      <c r="E13" s="13"/>
      <c r="F13" s="13"/>
      <c r="G13" s="13"/>
      <c r="H13" s="13"/>
      <c r="I13" s="13"/>
    </row>
    <row r="14" spans="1:9">
      <c r="A14" s="13"/>
      <c r="B14" s="13"/>
      <c r="C14" s="13"/>
      <c r="D14" s="13"/>
      <c r="E14" s="13"/>
      <c r="F14" s="13"/>
      <c r="G14" s="13"/>
      <c r="H14" s="13"/>
      <c r="I14" s="13"/>
    </row>
  </sheetData>
  <mergeCells count="10">
    <mergeCell ref="A1:I1"/>
    <mergeCell ref="A3:A4"/>
    <mergeCell ref="A5:A6"/>
    <mergeCell ref="A7:A8"/>
    <mergeCell ref="B3:B4"/>
    <mergeCell ref="B5:B6"/>
    <mergeCell ref="B7:B8"/>
    <mergeCell ref="I3:I4"/>
    <mergeCell ref="I5:I6"/>
    <mergeCell ref="I7:I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